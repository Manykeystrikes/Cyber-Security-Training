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4700a350a19185/Documents/"/>
    </mc:Choice>
  </mc:AlternateContent>
  <xr:revisionPtr revIDLastSave="613" documentId="8_{6099EC37-4BF6-4CBC-9455-3456FEFCE88F}" xr6:coauthVersionLast="47" xr6:coauthVersionMax="47" xr10:uidLastSave="{C4226C97-41A7-4582-88CC-6BE889F7A701}"/>
  <bookViews>
    <workbookView xWindow="48675" yWindow="-4155" windowWidth="22110" windowHeight="14595" xr2:uid="{6965EFCD-F679-45D0-886B-B508A83DCCE3}"/>
  </bookViews>
  <sheets>
    <sheet name="Risk Assessment Data" sheetId="1" r:id="rId1"/>
    <sheet name="Risk Matrix" sheetId="2" r:id="rId2"/>
    <sheet name="Heat Map" sheetId="3" r:id="rId3"/>
    <sheet name="Risk Ratings" sheetId="4" r:id="rId4"/>
    <sheet name="Risk Analysis Matrix" sheetId="6" r:id="rId5"/>
    <sheet name="MITRE probability description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10" i="1" l="1"/>
  <c r="E9" i="1"/>
  <c r="E8" i="1"/>
  <c r="E7" i="1"/>
  <c r="E6" i="1"/>
  <c r="E5" i="1"/>
  <c r="E4" i="1"/>
  <c r="E3" i="1"/>
  <c r="H5" i="3" l="1" a="1"/>
  <c r="H5" i="3" s="1"/>
  <c r="H4" i="3" a="1"/>
  <c r="H4" i="3" s="1"/>
  <c r="G7" i="3" a="1"/>
  <c r="G7" i="3" s="1"/>
  <c r="G6" i="3" a="1"/>
  <c r="G6" i="3" s="1"/>
  <c r="G5" i="3" a="1"/>
  <c r="G5" i="3" s="1"/>
  <c r="G4" i="3" a="1"/>
  <c r="G4" i="3" s="1"/>
  <c r="E7" i="3" a="1"/>
  <c r="E7" i="3" s="1"/>
  <c r="F7" i="3" a="1"/>
  <c r="F7" i="3" s="1"/>
  <c r="F5" i="3" a="1"/>
  <c r="F5" i="3" s="1"/>
  <c r="F4" i="3" a="1"/>
  <c r="F4" i="3" s="1"/>
  <c r="H5" i="2"/>
  <c r="F4" i="2"/>
  <c r="H6" i="2"/>
  <c r="H4" i="2"/>
  <c r="H3" i="2"/>
  <c r="G6" i="2"/>
  <c r="G5" i="2"/>
  <c r="F3" i="2"/>
  <c r="G4" i="2"/>
  <c r="G3" i="2"/>
  <c r="F6" i="2"/>
  <c r="F5" i="2"/>
  <c r="E5" i="2"/>
  <c r="E4" i="2"/>
  <c r="E3" i="2"/>
  <c r="E6" i="2"/>
  <c r="A3" i="1" l="1"/>
  <c r="A4" i="1" l="1"/>
  <c r="H6" i="3" a="1"/>
  <c r="H6" i="3" s="1"/>
  <c r="A5" i="1" l="1"/>
  <c r="H7" i="3" a="1"/>
  <c r="H7" i="3" s="1"/>
  <c r="A6" i="1" l="1"/>
  <c r="A7" i="1" l="1"/>
  <c r="A8" i="1" l="1"/>
  <c r="E4" i="3" a="1"/>
  <c r="E4" i="3" s="1"/>
  <c r="A9" i="1" l="1"/>
  <c r="E5" i="3" a="1"/>
  <c r="E5" i="3" s="1"/>
  <c r="A10" i="1" l="1"/>
  <c r="F6" i="3" s="1" a="1"/>
  <c r="F6" i="3" s="1"/>
  <c r="E6" i="3" a="1"/>
  <c r="E6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<sst xmlns="http://schemas.openxmlformats.org/spreadsheetml/2006/main" count="230" uniqueCount="113">
  <si>
    <t>Risk ID</t>
  </si>
  <si>
    <t>Risk Description</t>
  </si>
  <si>
    <t xml:space="preserve">Likelihood </t>
  </si>
  <si>
    <t>Impact</t>
  </si>
  <si>
    <t>Engineer Steals Trading Algorithms from Technology Database</t>
  </si>
  <si>
    <t>XSS Injection Used to Hook Web-App Users' Browsers</t>
  </si>
  <si>
    <t>SQL Injection to Dump Web App Database</t>
  </si>
  <si>
    <t>Brute-force to login to user accounts</t>
  </si>
  <si>
    <t>XSS Injection Used to Hook Corporate Intranet Browsers</t>
  </si>
  <si>
    <t>Employee Steals FInancial Data from Physical Server</t>
  </si>
  <si>
    <t>Attacker Impersonates User in Financial Advisor Live Chat</t>
  </si>
  <si>
    <t>Employee Downloads Backdoor Into Corporate Intranet</t>
  </si>
  <si>
    <t>Finance Employee Downloads Backdoor Into Corporate Intranet</t>
  </si>
  <si>
    <t>LIKELIHOOD</t>
  </si>
  <si>
    <t>10
Low</t>
  </si>
  <si>
    <t>20
Medium</t>
  </si>
  <si>
    <t>30
High</t>
  </si>
  <si>
    <t>40
Very High</t>
  </si>
  <si>
    <t>IMPACT</t>
  </si>
  <si>
    <t>Low</t>
  </si>
  <si>
    <t>Medium</t>
  </si>
  <si>
    <t>High</t>
  </si>
  <si>
    <t>Very High</t>
  </si>
  <si>
    <t>Score</t>
  </si>
  <si>
    <t>Description</t>
  </si>
  <si>
    <t>%</t>
  </si>
  <si>
    <t>Rare: very small chance of happening</t>
  </si>
  <si>
    <t>Unlikely: small chance of happening</t>
  </si>
  <si>
    <t>Likely: Likely to happen</t>
  </si>
  <si>
    <t>Expected: very high chance of happening or even certainty – this will happen</t>
  </si>
  <si>
    <t>Monetary Impact</t>
  </si>
  <si>
    <r>
      <rPr>
        <b/>
        <sz val="10"/>
        <color rgb="FF000000"/>
        <rFont val="Arial"/>
        <family val="2"/>
      </rPr>
      <t>Minor</t>
    </r>
    <r>
      <rPr>
        <sz val="10"/>
        <color rgb="FF000000"/>
        <rFont val="Arial"/>
        <family val="2"/>
      </rPr>
      <t xml:space="preserve"> impact.</t>
    </r>
    <r>
      <rPr>
        <sz val="10"/>
        <color indexed="8"/>
        <rFont val="Arial"/>
        <family val="2"/>
      </rPr>
      <t xml:space="preserve"> Negligible effect on the business's day-to-day operations and reputation.</t>
    </r>
  </si>
  <si>
    <t>&lt; $250k</t>
  </si>
  <si>
    <r>
      <rPr>
        <b/>
        <sz val="10"/>
        <color rgb="FF000000"/>
        <rFont val="Arial"/>
        <family val="2"/>
      </rPr>
      <t>Moderate</t>
    </r>
    <r>
      <rPr>
        <sz val="10"/>
        <color indexed="8"/>
        <rFont val="Arial"/>
        <family val="2"/>
      </rPr>
      <t xml:space="preserve"> impact. The incident will be expensive, but the company has enough cash to cover it. Day-to-day operations may slow, but will still continue. </t>
    </r>
  </si>
  <si>
    <t>$250-$500k</t>
  </si>
  <si>
    <r>
      <rPr>
        <b/>
        <sz val="10"/>
        <color rgb="FF000000"/>
        <rFont val="Arial"/>
        <family val="2"/>
      </rPr>
      <t>High</t>
    </r>
    <r>
      <rPr>
        <sz val="10"/>
        <color indexed="8"/>
        <rFont val="Arial"/>
        <family val="2"/>
      </rPr>
      <t xml:space="preserve"> impact. The company has resources to address the breach, but may have to adjust budgets and project timelines to accommodate. Some day-ot-day operations will halt. </t>
    </r>
  </si>
  <si>
    <t>$500k-$1M</t>
  </si>
  <si>
    <r>
      <rPr>
        <b/>
        <sz val="10"/>
        <color rgb="FF000000"/>
        <rFont val="Arial"/>
        <family val="2"/>
      </rPr>
      <t xml:space="preserve">Critical </t>
    </r>
    <r>
      <rPr>
        <sz val="10"/>
        <color indexed="8"/>
        <rFont val="Arial"/>
        <family val="2"/>
      </rPr>
      <t>impact. The company's reputation and income are threatened. Responding to the incident may require the company to take out debt or sell assets. Reputational damage may be severe.</t>
    </r>
  </si>
  <si>
    <t>&lt; $1.1M</t>
  </si>
  <si>
    <t>GeldCorp</t>
  </si>
  <si>
    <t>Internal Risk Rating Guidelines</t>
  </si>
  <si>
    <t>Risk Event Probability</t>
  </si>
  <si>
    <t>Interpretation</t>
  </si>
  <si>
    <t>Rating</t>
  </si>
  <si>
    <t>&gt; 0 - &lt;= 0.05</t>
  </si>
  <si>
    <t>Extremely sure not to occur</t>
  </si>
  <si>
    <t>&gt; 0.05 - &lt;= 0.15</t>
  </si>
  <si>
    <t>Almost sure not to occur</t>
  </si>
  <si>
    <t>&gt; 0.15 - &lt;= 0.25</t>
  </si>
  <si>
    <t>Not likely to occur</t>
  </si>
  <si>
    <t>&gt; 0.25 - &lt;= 0.35</t>
  </si>
  <si>
    <t>Not very likely to occur</t>
  </si>
  <si>
    <t>&gt; 0.35 - &lt;= 0.45</t>
  </si>
  <si>
    <t>Somewhat less than an even chance</t>
  </si>
  <si>
    <t>&gt; 0.45 - &lt;= 0.55</t>
  </si>
  <si>
    <t>An even chance to occur</t>
  </si>
  <si>
    <t>&gt; 0.55 - &lt;= 0.65</t>
  </si>
  <si>
    <t>Somewhat greater than an even chance</t>
  </si>
  <si>
    <t>&gt; 0.65 - &lt;= 0.75</t>
  </si>
  <si>
    <t>Likely to occur</t>
  </si>
  <si>
    <t>&gt; 0.75 - &lt;= 0.85</t>
  </si>
  <si>
    <t>Very likely to occur</t>
  </si>
  <si>
    <t>&gt; 0.85 - &lt;= 0.95</t>
  </si>
  <si>
    <t>Almost sure to occur</t>
  </si>
  <si>
    <t>&gt; 0.95 - &lt; 1</t>
  </si>
  <si>
    <t>Extremely sure to occur</t>
  </si>
  <si>
    <t>5. Almost Certain</t>
  </si>
  <si>
    <t>4. Likely</t>
  </si>
  <si>
    <t>3. Possible</t>
  </si>
  <si>
    <t>2. Unlikely</t>
  </si>
  <si>
    <t>1. Rare</t>
  </si>
  <si>
    <t>Likelihood</t>
  </si>
  <si>
    <t>Consequences</t>
  </si>
  <si>
    <t>1. Insignificant</t>
  </si>
  <si>
    <t>2. Minor</t>
  </si>
  <si>
    <t>3. Moderate</t>
  </si>
  <si>
    <t>4. Major</t>
  </si>
  <si>
    <t>5. Catastrophic</t>
  </si>
  <si>
    <t>L</t>
  </si>
  <si>
    <t>M</t>
  </si>
  <si>
    <t>H</t>
  </si>
  <si>
    <t>E</t>
  </si>
  <si>
    <t>Extreme</t>
  </si>
  <si>
    <t>Moderate</t>
  </si>
  <si>
    <t>Probability</t>
  </si>
  <si>
    <t>1. Very Low</t>
  </si>
  <si>
    <t>2. Low</t>
  </si>
  <si>
    <t>3. Medium</t>
  </si>
  <si>
    <t>4. High</t>
  </si>
  <si>
    <t>5. Very High</t>
  </si>
  <si>
    <t>Low (&lt;5)</t>
  </si>
  <si>
    <t>High (&gt;9)</t>
  </si>
  <si>
    <t>Likelihood-Impact</t>
  </si>
  <si>
    <r>
      <t xml:space="preserve">Eric Conrad, Seth Misenar, and Joshua Feldman, </t>
    </r>
    <r>
      <rPr>
        <i/>
        <sz val="11"/>
        <color theme="1"/>
        <rFont val="Calibri"/>
        <family val="2"/>
        <scheme val="minor"/>
      </rPr>
      <t>CISSP Study Guide, 2E</t>
    </r>
    <r>
      <rPr>
        <sz val="11"/>
        <color theme="1"/>
        <rFont val="Calibri"/>
        <family val="2"/>
        <scheme val="minor"/>
      </rPr>
      <t xml:space="preserve">  (Syngress, 2012), 146</t>
    </r>
  </si>
  <si>
    <r>
      <t xml:space="preserve">Tony Uceda Velez, and Marco M. Morena, </t>
    </r>
    <r>
      <rPr>
        <i/>
        <sz val="11"/>
        <color theme="1"/>
        <rFont val="Calibri"/>
        <family val="2"/>
        <scheme val="minor"/>
      </rPr>
      <t>Risk Centric Threat Modeling</t>
    </r>
    <r>
      <rPr>
        <sz val="11"/>
        <color theme="1"/>
        <rFont val="Calibri"/>
        <family val="2"/>
        <scheme val="minor"/>
      </rPr>
      <t xml:space="preserve"> (Wiley, 2015), 266</t>
    </r>
  </si>
  <si>
    <t>Sample Risk Matrix - an additional 4 risks but the risk profile is not overly dissimilar to above</t>
  </si>
  <si>
    <t>Another sample Risk Matrix - also an additional 4 risks, but a markedly different risk profile.</t>
  </si>
  <si>
    <t>Extreme (&gt;19)</t>
  </si>
  <si>
    <t>Low (r&lt;5)</t>
  </si>
  <si>
    <t>Moderate (5 &lt;= r &lt;= 9)</t>
  </si>
  <si>
    <t>High (10 &lt;= r &lt;= 19)</t>
  </si>
  <si>
    <t>http://www2.mitre.org/work/sepo/toolkits/risk/StandardProcess/definitions/occurence.html</t>
  </si>
  <si>
    <t>MITRE Risk Management - Standard Process/Definitions: Probability of Occurrence</t>
  </si>
  <si>
    <t>Variation on the Risk Analysis Matrix from Risk Centric Threat Modeling</t>
  </si>
  <si>
    <t>Likelihood assessment need not be based on probability - other possible factors include frequency of occurrence and complexity.</t>
  </si>
  <si>
    <t>Impact assessment need not be based on direct financial impact - other possible factors include stakeholder relations and (legislative/regulatory) compliance.</t>
  </si>
  <si>
    <t>Risk IDs by likelihood, impact</t>
  </si>
  <si>
    <t>To add a new risk, drag the indicator in the bottom right corner of the right-most cell down, then edit as this will allocate a new riskID and autofill the helper column used to populate the Risk Matrix.</t>
  </si>
  <si>
    <t>Another variation on the Risk Analysis Matrix from Risk Centric Threat Modeling</t>
  </si>
  <si>
    <t>N</t>
  </si>
  <si>
    <t>Negligible (r = 1)</t>
  </si>
  <si>
    <t>Low (2 &lt;= r  &lt; 5)</t>
  </si>
  <si>
    <t>Risk Matrix (autofilled from Risk Assessment Data) - shows the total number of identified risks per probability and impact
per probability and impact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</si>
</sst>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5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sz val="12"/>
      <color rgb="FF000000"/>
      <name val="Roboto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0"/>
      <color theme="0"/>
      <name val="Arial"/>
      <family val="2"/>
    </font>
    <font>
      <sz val="10"/>
      <color indexed="8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b/>
      <sz val="11"/>
      <color theme="1"/>
      <name val="Calibri"/>
      <family val="2"/>
      <scheme val="minor"/>
    </font>
    <font>
      <sz val="12"/>
      <color rgb="FF0D405F"/>
      <name val="Noto Sans"/>
      <family val="2"/>
      <charset val="1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Var(--ff-mono)"/>
    </font>
  </fonts>
  <fills count="18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B1D47F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rgb="FFFCB47A"/>
        <bgColor indexed="64"/>
      </patternFill>
    </fill>
    <fill>
      <patternFill patternType="solid">
        <fgColor rgb="FFFA8F73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9" fillId="0" borderId="0"/>
    <xf numFmtId="0" fontId="23" fillId="0" borderId="0" applyNumberFormat="0" applyFill="0" applyBorder="0" applyAlignment="0" applyProtection="0"/>
  </cellStyleXfs>
  <cellXfs count="81">
    <xf numFmtId="0" fontId="0" fillId="0" borderId="0" xfId="0"/>
    <xf numFmtId="0" fontId="2" fillId="3" borderId="1" xfId="1" applyFont="1" applyFill="1" applyBorder="1" applyAlignment="1">
      <alignment horizontal="left" vertical="center"/>
    </xf>
    <xf numFmtId="0" fontId="2" fillId="3" borderId="1" xfId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wrapText="1"/>
    </xf>
    <xf numFmtId="0" fontId="5" fillId="0" borderId="3" xfId="0" applyFont="1" applyBorder="1" applyAlignment="1">
      <alignment horizontal="right" vertical="center" wrapText="1"/>
    </xf>
    <xf numFmtId="0" fontId="4" fillId="0" borderId="4" xfId="0" applyFont="1" applyBorder="1" applyAlignment="1">
      <alignment vertical="center" wrapText="1"/>
    </xf>
    <xf numFmtId="0" fontId="5" fillId="0" borderId="5" xfId="0" applyFont="1" applyBorder="1" applyAlignment="1">
      <alignment horizontal="right" vertical="center" wrapText="1"/>
    </xf>
    <xf numFmtId="0" fontId="0" fillId="4" borderId="6" xfId="0" applyFill="1" applyBorder="1"/>
    <xf numFmtId="0" fontId="0" fillId="4" borderId="7" xfId="0" applyFill="1" applyBorder="1"/>
    <xf numFmtId="0" fontId="0" fillId="4" borderId="7" xfId="0" applyFill="1" applyBorder="1" applyAlignment="1">
      <alignment horizontal="left"/>
    </xf>
    <xf numFmtId="0" fontId="0" fillId="4" borderId="9" xfId="0" applyFill="1" applyBorder="1"/>
    <xf numFmtId="0" fontId="7" fillId="4" borderId="0" xfId="0" applyFont="1" applyFill="1"/>
    <xf numFmtId="0" fontId="7" fillId="4" borderId="0" xfId="0" applyFont="1" applyFill="1" applyAlignment="1">
      <alignment horizontal="left"/>
    </xf>
    <xf numFmtId="0" fontId="8" fillId="5" borderId="0" xfId="1" applyFont="1" applyFill="1" applyAlignment="1">
      <alignment horizontal="center" vertical="center" wrapText="1"/>
    </xf>
    <xf numFmtId="0" fontId="8" fillId="5" borderId="10" xfId="1" applyFont="1" applyFill="1" applyBorder="1" applyAlignment="1">
      <alignment horizontal="center" vertical="center" wrapText="1"/>
    </xf>
    <xf numFmtId="0" fontId="8" fillId="5" borderId="0" xfId="1" applyFont="1" applyFill="1" applyAlignment="1">
      <alignment horizontal="left" vertical="center" wrapText="1"/>
    </xf>
    <xf numFmtId="3" fontId="0" fillId="6" borderId="0" xfId="0" applyNumberFormat="1" applyFill="1" applyAlignment="1">
      <alignment horizontal="center" vertical="center"/>
    </xf>
    <xf numFmtId="3" fontId="0" fillId="7" borderId="0" xfId="0" applyNumberFormat="1" applyFill="1" applyAlignment="1">
      <alignment horizontal="center" vertical="center"/>
    </xf>
    <xf numFmtId="3" fontId="0" fillId="8" borderId="0" xfId="0" applyNumberFormat="1" applyFill="1" applyAlignment="1">
      <alignment horizontal="center" vertical="center"/>
    </xf>
    <xf numFmtId="3" fontId="0" fillId="9" borderId="10" xfId="0" applyNumberFormat="1" applyFill="1" applyBorder="1" applyAlignment="1">
      <alignment horizontal="center" vertical="center"/>
    </xf>
    <xf numFmtId="3" fontId="0" fillId="10" borderId="0" xfId="0" applyNumberFormat="1" applyFill="1" applyAlignment="1">
      <alignment horizontal="center" vertical="center"/>
    </xf>
    <xf numFmtId="3" fontId="0" fillId="10" borderId="10" xfId="0" applyNumberFormat="1" applyFill="1" applyBorder="1" applyAlignment="1">
      <alignment horizontal="center" vertical="center"/>
    </xf>
    <xf numFmtId="3" fontId="0" fillId="11" borderId="10" xfId="0" applyNumberFormat="1" applyFill="1" applyBorder="1" applyAlignment="1">
      <alignment horizontal="center" vertical="center"/>
    </xf>
    <xf numFmtId="0" fontId="8" fillId="5" borderId="12" xfId="1" applyFont="1" applyFill="1" applyBorder="1" applyAlignment="1">
      <alignment horizontal="center" vertical="center" wrapText="1"/>
    </xf>
    <xf numFmtId="0" fontId="8" fillId="5" borderId="12" xfId="1" applyFont="1" applyFill="1" applyBorder="1" applyAlignment="1">
      <alignment horizontal="left" vertical="center" wrapText="1"/>
    </xf>
    <xf numFmtId="3" fontId="0" fillId="9" borderId="12" xfId="0" applyNumberFormat="1" applyFill="1" applyBorder="1" applyAlignment="1">
      <alignment horizontal="center" vertical="center"/>
    </xf>
    <xf numFmtId="3" fontId="0" fillId="10" borderId="12" xfId="0" applyNumberFormat="1" applyFill="1" applyBorder="1" applyAlignment="1">
      <alignment horizontal="center" vertical="center"/>
    </xf>
    <xf numFmtId="3" fontId="0" fillId="11" borderId="12" xfId="0" applyNumberFormat="1" applyFill="1" applyBorder="1" applyAlignment="1">
      <alignment horizontal="center" vertical="center"/>
    </xf>
    <xf numFmtId="3" fontId="0" fillId="11" borderId="13" xfId="0" applyNumberFormat="1" applyFill="1" applyBorder="1" applyAlignment="1">
      <alignment horizontal="center" vertical="center"/>
    </xf>
    <xf numFmtId="0" fontId="9" fillId="4" borderId="0" xfId="2" applyFill="1" applyAlignment="1">
      <alignment horizontal="center"/>
    </xf>
    <xf numFmtId="0" fontId="10" fillId="4" borderId="0" xfId="2" applyFont="1" applyFill="1" applyAlignment="1" applyProtection="1">
      <alignment horizontal="left"/>
      <protection locked="0"/>
    </xf>
    <xf numFmtId="0" fontId="9" fillId="4" borderId="0" xfId="2" applyFill="1"/>
    <xf numFmtId="0" fontId="12" fillId="3" borderId="15" xfId="1" applyFont="1" applyFill="1" applyBorder="1" applyAlignment="1">
      <alignment horizontal="center" vertical="center" wrapText="1"/>
    </xf>
    <xf numFmtId="1" fontId="13" fillId="4" borderId="15" xfId="2" applyNumberFormat="1" applyFont="1" applyFill="1" applyBorder="1" applyAlignment="1">
      <alignment horizontal="center" vertical="top" wrapText="1"/>
    </xf>
    <xf numFmtId="0" fontId="13" fillId="4" borderId="15" xfId="2" applyFont="1" applyFill="1" applyBorder="1" applyAlignment="1">
      <alignment vertical="top" wrapText="1"/>
    </xf>
    <xf numFmtId="9" fontId="9" fillId="4" borderId="15" xfId="2" applyNumberFormat="1" applyFill="1" applyBorder="1" applyAlignment="1">
      <alignment horizontal="center" vertical="center"/>
    </xf>
    <xf numFmtId="0" fontId="9" fillId="4" borderId="15" xfId="2" applyFill="1" applyBorder="1" applyAlignment="1">
      <alignment horizontal="center" vertical="center"/>
    </xf>
    <xf numFmtId="0" fontId="16" fillId="4" borderId="0" xfId="2" applyFont="1" applyFill="1" applyAlignment="1" applyProtection="1">
      <alignment horizontal="left"/>
      <protection locked="0"/>
    </xf>
    <xf numFmtId="0" fontId="17" fillId="4" borderId="0" xfId="2" applyFont="1" applyFill="1" applyAlignment="1" applyProtection="1">
      <alignment horizontal="left"/>
      <protection locked="0"/>
    </xf>
    <xf numFmtId="0" fontId="17" fillId="4" borderId="0" xfId="2" applyFont="1" applyFill="1" applyAlignment="1">
      <alignment horizontal="center" vertical="top"/>
    </xf>
    <xf numFmtId="0" fontId="9" fillId="4" borderId="0" xfId="2" applyFill="1" applyAlignment="1">
      <alignment vertical="top"/>
    </xf>
    <xf numFmtId="0" fontId="18" fillId="12" borderId="0" xfId="0" applyFont="1" applyFill="1" applyAlignment="1">
      <alignment horizontal="center" vertical="center" wrapText="1"/>
    </xf>
    <xf numFmtId="0" fontId="19" fillId="12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7" xfId="0" applyBorder="1"/>
    <xf numFmtId="0" fontId="0" fillId="0" borderId="24" xfId="0" applyBorder="1"/>
    <xf numFmtId="0" fontId="0" fillId="15" borderId="16" xfId="0" applyFill="1" applyBorder="1" applyAlignment="1">
      <alignment horizontal="center" vertical="center"/>
    </xf>
    <xf numFmtId="0" fontId="0" fillId="14" borderId="16" xfId="0" applyFill="1" applyBorder="1" applyAlignment="1">
      <alignment horizontal="center" vertical="center"/>
    </xf>
    <xf numFmtId="0" fontId="0" fillId="13" borderId="16" xfId="0" applyFill="1" applyBorder="1" applyAlignment="1">
      <alignment horizontal="center" vertical="center"/>
    </xf>
    <xf numFmtId="0" fontId="0" fillId="13" borderId="22" xfId="0" applyFill="1" applyBorder="1" applyAlignment="1">
      <alignment horizontal="center" vertical="center"/>
    </xf>
    <xf numFmtId="0" fontId="0" fillId="16" borderId="16" xfId="0" applyFill="1" applyBorder="1" applyAlignment="1">
      <alignment horizontal="center" vertical="center"/>
    </xf>
    <xf numFmtId="0" fontId="0" fillId="14" borderId="22" xfId="0" applyFill="1" applyBorder="1" applyAlignment="1">
      <alignment horizontal="center" vertical="center"/>
    </xf>
    <xf numFmtId="0" fontId="0" fillId="15" borderId="22" xfId="0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2" fillId="3" borderId="25" xfId="1" applyFont="1" applyFill="1" applyBorder="1" applyAlignment="1">
      <alignment horizontal="left" vertical="center"/>
    </xf>
    <xf numFmtId="0" fontId="21" fillId="0" borderId="0" xfId="0" applyFont="1"/>
    <xf numFmtId="0" fontId="22" fillId="0" borderId="0" xfId="0" applyFont="1"/>
    <xf numFmtId="0" fontId="22" fillId="0" borderId="0" xfId="0" applyFont="1" applyAlignment="1">
      <alignment wrapText="1"/>
    </xf>
    <xf numFmtId="0" fontId="24" fillId="0" borderId="0" xfId="0" applyFont="1" applyAlignment="1">
      <alignment horizontal="left" vertical="center" indent="1"/>
    </xf>
    <xf numFmtId="0" fontId="0" fillId="17" borderId="22" xfId="0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11" xfId="0" applyFont="1" applyFill="1" applyBorder="1" applyAlignment="1">
      <alignment horizontal="center" vertical="center" textRotation="90"/>
    </xf>
    <xf numFmtId="0" fontId="22" fillId="0" borderId="7" xfId="0" applyFont="1" applyBorder="1" applyAlignment="1">
      <alignment horizontal="center" wrapText="1"/>
    </xf>
    <xf numFmtId="0" fontId="6" fillId="4" borderId="7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center"/>
    </xf>
    <xf numFmtId="0" fontId="22" fillId="0" borderId="7" xfId="0" applyFont="1" applyBorder="1" applyAlignment="1">
      <alignment horizontal="center"/>
    </xf>
    <xf numFmtId="0" fontId="11" fillId="4" borderId="14" xfId="2" applyFont="1" applyFill="1" applyBorder="1" applyAlignment="1" applyProtection="1">
      <alignment horizontal="center"/>
      <protection locked="0"/>
    </xf>
    <xf numFmtId="0" fontId="22" fillId="0" borderId="0" xfId="0" applyFont="1" applyAlignment="1">
      <alignment horizontal="center" vertical="center" wrapText="1"/>
    </xf>
    <xf numFmtId="0" fontId="20" fillId="0" borderId="17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20" fillId="0" borderId="20" xfId="0" applyFont="1" applyBorder="1" applyAlignment="1">
      <alignment horizontal="center" vertical="center" textRotation="90"/>
    </xf>
    <xf numFmtId="0" fontId="20" fillId="0" borderId="21" xfId="0" applyFont="1" applyBorder="1" applyAlignment="1">
      <alignment horizontal="center" vertical="center" textRotation="90"/>
    </xf>
    <xf numFmtId="0" fontId="20" fillId="0" borderId="22" xfId="0" applyFont="1" applyBorder="1" applyAlignment="1">
      <alignment horizontal="center" vertical="center" textRotation="90"/>
    </xf>
    <xf numFmtId="0" fontId="0" fillId="0" borderId="23" xfId="0" applyBorder="1" applyAlignment="1">
      <alignment horizontal="center"/>
    </xf>
    <xf numFmtId="0" fontId="23" fillId="0" borderId="0" xfId="3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</cellXfs>
  <cellStyles count="4">
    <cellStyle name="Accent3" xfId="1" builtinId="37"/>
    <cellStyle name="Hyperlink" xfId="3" builtinId="8"/>
    <cellStyle name="Normal" xfId="0" builtinId="0"/>
    <cellStyle name="Normal 2" xfId="2" xr:uid="{72B5F584-79F1-4CEA-BC84-C42A8A1AD437}"/>
  </cellStyles>
  <dxfs count="20"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Roboto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solid">
          <fgColor indexed="64"/>
          <bgColor theme="0" tint="-0.49998474074526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/>
        <bottom/>
      </border>
    </dxf>
  </dxfs>
  <tableStyles count="2" defaultTableStyle="TableStyleMedium2" defaultPivotStyle="PivotStyleLight16">
    <tableStyle name="PivotTable Style 1" table="0" count="0" xr9:uid="{628AEF11-C643-4953-A9CF-D937C241D1F7}"/>
    <tableStyle name="PivotTable Style 2" table="0" count="0" xr9:uid="{F559B99F-4990-4999-8507-0A7E057DBAB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293754-3FC1-4C1D-AB2F-02CB18D5AC09}" name="Risks" displayName="Risks" ref="A1:E10" totalsRowShown="0" headerRowDxfId="19" headerRowCellStyle="Accent3">
  <autoFilter ref="A1:E10" xr:uid="{1B293754-3FC1-4C1D-AB2F-02CB18D5AC09}"/>
  <tableColumns count="5">
    <tableColumn id="1" xr3:uid="{8EF4C981-A099-4845-9D8D-5D39946A31EF}" name="Risk ID" dataDxfId="18">
      <calculatedColumnFormula>SUM(A1,1)</calculatedColumnFormula>
    </tableColumn>
    <tableColumn id="2" xr3:uid="{5F075F8F-E268-41A0-B184-7A582D30535F}" name="Risk Description" dataDxfId="17"/>
    <tableColumn id="3" xr3:uid="{197B9687-5903-4B3E-904F-BA34266FAABD}" name="Likelihood " dataDxfId="16"/>
    <tableColumn id="4" xr3:uid="{994C0E7C-98E0-4D0A-B521-C2F6AAE4962D}" name="Impact" dataDxfId="15"/>
    <tableColumn id="5" xr3:uid="{A18FB634-9377-4649-8C20-938EB1807B33}" name="Likelihood-Impact">
      <calculatedColumnFormula>_xlfn.CONCAT(OFFSET($A$1,ROW()-1,COLUMN()-3),OFFSET($A$1,ROW()-1,COLUMN()-2))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2.mitre.org/work/sepo/toolkits/risk/StandardProcess/definitions/occurenc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ECAC0-923B-4D38-A554-7215EDEFD8A7}">
  <dimension ref="A1:F11"/>
  <sheetViews>
    <sheetView tabSelected="1" workbookViewId="0">
      <selection activeCell="E2" sqref="E2"/>
    </sheetView>
  </sheetViews>
  <sheetFormatPr defaultRowHeight="15"/>
  <cols>
    <col min="2" max="2" width="66.140625" customWidth="1"/>
    <col min="3" max="3" width="19" customWidth="1"/>
    <col min="4" max="4" width="18.42578125" customWidth="1"/>
    <col min="5" max="5" width="17.28515625" customWidth="1"/>
    <col min="6" max="6" width="36.42578125" customWidth="1"/>
  </cols>
  <sheetData>
    <row r="1" spans="1:6" ht="15.75" thickBot="1">
      <c r="A1" s="1" t="s">
        <v>0</v>
      </c>
      <c r="B1" s="1" t="s">
        <v>1</v>
      </c>
      <c r="C1" s="1" t="s">
        <v>2</v>
      </c>
      <c r="D1" s="2" t="s">
        <v>3</v>
      </c>
      <c r="E1" s="55" t="s">
        <v>92</v>
      </c>
    </row>
    <row r="2" spans="1:6" ht="16.5" customHeight="1" thickBot="1">
      <c r="A2" s="3">
        <v>1</v>
      </c>
      <c r="B2" s="4" t="s">
        <v>4</v>
      </c>
      <c r="C2" s="5">
        <v>10</v>
      </c>
      <c r="D2" s="5">
        <v>40</v>
      </c>
      <c r="E2" t="str">
        <f ca="1">_xlfn.CONCAT(OFFSET($A$1,ROW()-1,COLUMN()-3),OFFSET($A$1,ROW()-1,COLUMN()-2))</f>
        <v>1040</v>
      </c>
    </row>
    <row r="3" spans="1:6" ht="16.5" thickBot="1">
      <c r="A3" s="3">
        <f>SUM(A2,1)</f>
        <v>2</v>
      </c>
      <c r="B3" s="6" t="s">
        <v>5</v>
      </c>
      <c r="C3" s="7">
        <v>40</v>
      </c>
      <c r="D3" s="7">
        <v>30</v>
      </c>
      <c r="E3" t="str">
        <f t="shared" ref="E2:E10" ca="1" si="0">_xlfn.CONCAT(OFFSET($A$1,ROW()-1,COLUMN()-3),OFFSET($A$1,ROW()-1,COLUMN()-2))</f>
        <v>4030</v>
      </c>
    </row>
    <row r="4" spans="1:6" ht="16.5" thickBot="1">
      <c r="A4" s="3">
        <f t="shared" ref="A4:A10" si="1">SUM(A3,1)</f>
        <v>3</v>
      </c>
      <c r="B4" s="6" t="s">
        <v>6</v>
      </c>
      <c r="C4" s="7">
        <v>40</v>
      </c>
      <c r="D4" s="7">
        <v>40</v>
      </c>
      <c r="E4" t="str">
        <f t="shared" ca="1" si="0"/>
        <v>4040</v>
      </c>
    </row>
    <row r="5" spans="1:6" ht="16.5" thickBot="1">
      <c r="A5" s="3">
        <f t="shared" si="1"/>
        <v>4</v>
      </c>
      <c r="B5" s="6" t="s">
        <v>7</v>
      </c>
      <c r="C5" s="7">
        <v>10</v>
      </c>
      <c r="D5" s="7">
        <v>20</v>
      </c>
      <c r="E5" t="str">
        <f t="shared" ca="1" si="0"/>
        <v>1020</v>
      </c>
    </row>
    <row r="6" spans="1:6" ht="16.5" thickBot="1">
      <c r="A6" s="3">
        <f t="shared" si="1"/>
        <v>5</v>
      </c>
      <c r="B6" s="6" t="s">
        <v>8</v>
      </c>
      <c r="C6" s="7">
        <v>10</v>
      </c>
      <c r="D6" s="7">
        <v>30</v>
      </c>
      <c r="E6" t="str">
        <f t="shared" ca="1" si="0"/>
        <v>1030</v>
      </c>
    </row>
    <row r="7" spans="1:6" ht="16.5" thickBot="1">
      <c r="A7" s="3">
        <f t="shared" si="1"/>
        <v>6</v>
      </c>
      <c r="B7" s="6" t="s">
        <v>9</v>
      </c>
      <c r="C7" s="7">
        <v>10</v>
      </c>
      <c r="D7" s="7">
        <v>10</v>
      </c>
      <c r="E7" t="str">
        <f t="shared" ca="1" si="0"/>
        <v>1010</v>
      </c>
    </row>
    <row r="8" spans="1:6" ht="16.5" thickBot="1">
      <c r="A8" s="3">
        <f t="shared" si="1"/>
        <v>7</v>
      </c>
      <c r="B8" s="6" t="s">
        <v>10</v>
      </c>
      <c r="C8" s="7">
        <v>10</v>
      </c>
      <c r="D8" s="7">
        <v>20</v>
      </c>
      <c r="E8" t="str">
        <f t="shared" ca="1" si="0"/>
        <v>1020</v>
      </c>
    </row>
    <row r="9" spans="1:6" ht="16.5" thickBot="1">
      <c r="A9" s="3">
        <f t="shared" si="1"/>
        <v>8</v>
      </c>
      <c r="B9" s="6" t="s">
        <v>11</v>
      </c>
      <c r="C9" s="7">
        <v>10</v>
      </c>
      <c r="D9" s="7">
        <v>30</v>
      </c>
      <c r="E9" t="str">
        <f t="shared" ca="1" si="0"/>
        <v>1030</v>
      </c>
    </row>
    <row r="10" spans="1:6" ht="16.5" customHeight="1" thickBot="1">
      <c r="A10" s="3">
        <f t="shared" si="1"/>
        <v>9</v>
      </c>
      <c r="B10" s="6" t="s">
        <v>12</v>
      </c>
      <c r="C10" s="7">
        <v>20</v>
      </c>
      <c r="D10" s="7">
        <v>30</v>
      </c>
      <c r="E10" t="str">
        <f t="shared" ca="1" si="0"/>
        <v>2030</v>
      </c>
      <c r="F10" s="57"/>
    </row>
    <row r="11" spans="1:6" ht="90">
      <c r="F11" s="58" t="s">
        <v>107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744DB-BEBF-4B56-9B72-B3F71BD61C2C}">
  <dimension ref="B1:H25"/>
  <sheetViews>
    <sheetView workbookViewId="0">
      <selection activeCell="C7" sqref="C7:H8"/>
    </sheetView>
  </sheetViews>
  <sheetFormatPr defaultRowHeight="15"/>
  <sheetData>
    <row r="1" spans="2:8" ht="15.75">
      <c r="B1" s="8"/>
      <c r="C1" s="9"/>
      <c r="D1" s="10"/>
      <c r="E1" s="64" t="s">
        <v>13</v>
      </c>
      <c r="F1" s="64"/>
      <c r="G1" s="64"/>
      <c r="H1" s="65"/>
    </row>
    <row r="2" spans="2:8" ht="25.5">
      <c r="B2" s="11"/>
      <c r="C2" s="12"/>
      <c r="D2" s="13"/>
      <c r="E2" s="14" t="s">
        <v>14</v>
      </c>
      <c r="F2" s="14" t="s">
        <v>15</v>
      </c>
      <c r="G2" s="14" t="s">
        <v>16</v>
      </c>
      <c r="H2" s="15" t="s">
        <v>17</v>
      </c>
    </row>
    <row r="3" spans="2:8">
      <c r="B3" s="61" t="s">
        <v>18</v>
      </c>
      <c r="C3" s="14">
        <v>10</v>
      </c>
      <c r="D3" s="16" t="s">
        <v>19</v>
      </c>
      <c r="E3" s="17">
        <f ca="1">COUNTIF('Risk Assessment Data'!E:E, "1010")</f>
        <v>1</v>
      </c>
      <c r="F3" s="18">
        <f ca="1">COUNTIF('Risk Assessment Data'!E:E, "2010")</f>
        <v>0</v>
      </c>
      <c r="G3" s="19">
        <f ca="1">COUNTIF('Risk Assessment Data'!E:E, "3010")</f>
        <v>0</v>
      </c>
      <c r="H3" s="20">
        <f ca="1">COUNTIF('Risk Assessment Data'!E:E, "4010")</f>
        <v>0</v>
      </c>
    </row>
    <row r="4" spans="2:8">
      <c r="B4" s="61"/>
      <c r="C4" s="14">
        <v>20</v>
      </c>
      <c r="D4" s="16" t="s">
        <v>20</v>
      </c>
      <c r="E4" s="18">
        <f ca="1">COUNTIF('Risk Assessment Data'!E:E, "1020")</f>
        <v>2</v>
      </c>
      <c r="F4" s="19">
        <f ca="1">COUNTIF('Risk Assessment Data'!E:E, "2020")</f>
        <v>0</v>
      </c>
      <c r="G4" s="21">
        <f ca="1">COUNTIF('Risk Assessment Data'!E:E, "3020")</f>
        <v>0</v>
      </c>
      <c r="H4" s="22">
        <f ca="1">COUNTIF('Risk Assessment Data'!E:E, "4020")</f>
        <v>0</v>
      </c>
    </row>
    <row r="5" spans="2:8">
      <c r="B5" s="61"/>
      <c r="C5" s="14">
        <v>30</v>
      </c>
      <c r="D5" s="16" t="s">
        <v>21</v>
      </c>
      <c r="E5" s="18">
        <f ca="1">COUNTIF('Risk Assessment Data'!E:E, "1030")</f>
        <v>2</v>
      </c>
      <c r="F5" s="19">
        <f ca="1">COUNTIF('Risk Assessment Data'!E:E, "2030")</f>
        <v>1</v>
      </c>
      <c r="G5" s="21">
        <f ca="1">COUNTIF('Risk Assessment Data'!E:E, "3030")</f>
        <v>0</v>
      </c>
      <c r="H5" s="23">
        <f ca="1">COUNTIF('Risk Assessment Data'!E:E, "4030")</f>
        <v>1</v>
      </c>
    </row>
    <row r="6" spans="2:8">
      <c r="B6" s="62"/>
      <c r="C6" s="24">
        <v>40</v>
      </c>
      <c r="D6" s="25" t="s">
        <v>22</v>
      </c>
      <c r="E6" s="20">
        <f ca="1">COUNTIF('Risk Assessment Data'!E:E, "1040")</f>
        <v>1</v>
      </c>
      <c r="F6" s="27">
        <f ca="1">COUNTIF('Risk Assessment Data'!E:E, "2040")</f>
        <v>0</v>
      </c>
      <c r="G6" s="28">
        <f ca="1">COUNTIF('Risk Assessment Data'!E:E, "3040")</f>
        <v>0</v>
      </c>
      <c r="H6" s="29">
        <f ca="1">COUNTIF('Risk Assessment Data'!E:E, "4040")</f>
        <v>1</v>
      </c>
    </row>
    <row r="7" spans="2:8">
      <c r="C7" s="66" t="s">
        <v>112</v>
      </c>
      <c r="D7" s="67"/>
      <c r="E7" s="67"/>
      <c r="F7" s="67"/>
      <c r="G7" s="67"/>
      <c r="H7" s="67"/>
    </row>
    <row r="8" spans="2:8">
      <c r="C8" s="67"/>
      <c r="D8" s="67"/>
      <c r="E8" s="67"/>
      <c r="F8" s="67"/>
      <c r="G8" s="67"/>
      <c r="H8" s="67"/>
    </row>
    <row r="10" spans="2:8" ht="15.75">
      <c r="B10" s="8"/>
      <c r="C10" s="9"/>
      <c r="D10" s="10"/>
      <c r="E10" s="64" t="s">
        <v>13</v>
      </c>
      <c r="F10" s="64"/>
      <c r="G10" s="64"/>
      <c r="H10" s="65"/>
    </row>
    <row r="11" spans="2:8" ht="25.5">
      <c r="B11" s="11"/>
      <c r="C11" s="12"/>
      <c r="D11" s="13"/>
      <c r="E11" s="14" t="s">
        <v>14</v>
      </c>
      <c r="F11" s="14" t="s">
        <v>15</v>
      </c>
      <c r="G11" s="14" t="s">
        <v>16</v>
      </c>
      <c r="H11" s="15" t="s">
        <v>17</v>
      </c>
    </row>
    <row r="12" spans="2:8">
      <c r="B12" s="61" t="s">
        <v>18</v>
      </c>
      <c r="C12" s="14">
        <v>10</v>
      </c>
      <c r="D12" s="16" t="s">
        <v>19</v>
      </c>
      <c r="E12" s="17">
        <v>5</v>
      </c>
      <c r="F12" s="18">
        <v>0</v>
      </c>
      <c r="G12" s="19">
        <v>0</v>
      </c>
      <c r="H12" s="20">
        <v>0</v>
      </c>
    </row>
    <row r="13" spans="2:8">
      <c r="B13" s="61"/>
      <c r="C13" s="14">
        <v>20</v>
      </c>
      <c r="D13" s="16" t="s">
        <v>20</v>
      </c>
      <c r="E13" s="18">
        <v>2</v>
      </c>
      <c r="F13" s="19">
        <v>0</v>
      </c>
      <c r="G13" s="21">
        <v>0</v>
      </c>
      <c r="H13" s="22">
        <v>0</v>
      </c>
    </row>
    <row r="14" spans="2:8">
      <c r="B14" s="61"/>
      <c r="C14" s="14">
        <v>30</v>
      </c>
      <c r="D14" s="16" t="s">
        <v>21</v>
      </c>
      <c r="E14" s="18">
        <v>2</v>
      </c>
      <c r="F14" s="19">
        <v>1</v>
      </c>
      <c r="G14" s="21">
        <v>0</v>
      </c>
      <c r="H14" s="23">
        <v>1</v>
      </c>
    </row>
    <row r="15" spans="2:8">
      <c r="B15" s="62"/>
      <c r="C15" s="24">
        <v>40</v>
      </c>
      <c r="D15" s="25" t="s">
        <v>22</v>
      </c>
      <c r="E15" s="26">
        <v>1</v>
      </c>
      <c r="F15" s="27">
        <v>0</v>
      </c>
      <c r="G15" s="28">
        <v>0</v>
      </c>
      <c r="H15" s="29">
        <v>1</v>
      </c>
    </row>
    <row r="16" spans="2:8" ht="30.75" customHeight="1">
      <c r="C16" s="63" t="s">
        <v>95</v>
      </c>
      <c r="D16" s="63"/>
      <c r="E16" s="63"/>
      <c r="F16" s="63"/>
      <c r="G16" s="63"/>
      <c r="H16" s="63"/>
    </row>
    <row r="19" spans="2:8" ht="15.75">
      <c r="B19" s="8"/>
      <c r="C19" s="9"/>
      <c r="D19" s="10"/>
      <c r="E19" s="64" t="s">
        <v>13</v>
      </c>
      <c r="F19" s="64"/>
      <c r="G19" s="64"/>
      <c r="H19" s="65"/>
    </row>
    <row r="20" spans="2:8" ht="25.5">
      <c r="B20" s="11"/>
      <c r="C20" s="12"/>
      <c r="D20" s="13"/>
      <c r="E20" s="14" t="s">
        <v>14</v>
      </c>
      <c r="F20" s="14" t="s">
        <v>15</v>
      </c>
      <c r="G20" s="14" t="s">
        <v>16</v>
      </c>
      <c r="H20" s="15" t="s">
        <v>17</v>
      </c>
    </row>
    <row r="21" spans="2:8">
      <c r="B21" s="61" t="s">
        <v>18</v>
      </c>
      <c r="C21" s="14">
        <v>10</v>
      </c>
      <c r="D21" s="16" t="s">
        <v>19</v>
      </c>
      <c r="E21" s="17">
        <v>1</v>
      </c>
      <c r="F21" s="18">
        <v>0</v>
      </c>
      <c r="G21" s="19">
        <v>0</v>
      </c>
      <c r="H21" s="20">
        <v>0</v>
      </c>
    </row>
    <row r="22" spans="2:8">
      <c r="B22" s="61"/>
      <c r="C22" s="14">
        <v>20</v>
      </c>
      <c r="D22" s="16" t="s">
        <v>20</v>
      </c>
      <c r="E22" s="18">
        <v>2</v>
      </c>
      <c r="F22" s="19">
        <v>0</v>
      </c>
      <c r="G22" s="21">
        <v>0</v>
      </c>
      <c r="H22" s="22">
        <v>0</v>
      </c>
    </row>
    <row r="23" spans="2:8">
      <c r="B23" s="61"/>
      <c r="C23" s="14">
        <v>30</v>
      </c>
      <c r="D23" s="16" t="s">
        <v>21</v>
      </c>
      <c r="E23" s="18">
        <v>2</v>
      </c>
      <c r="F23" s="19">
        <v>1</v>
      </c>
      <c r="G23" s="21">
        <v>0</v>
      </c>
      <c r="H23" s="23">
        <v>1</v>
      </c>
    </row>
    <row r="24" spans="2:8">
      <c r="B24" s="62"/>
      <c r="C24" s="24">
        <v>40</v>
      </c>
      <c r="D24" s="25" t="s">
        <v>22</v>
      </c>
      <c r="E24" s="26">
        <v>1</v>
      </c>
      <c r="F24" s="27">
        <v>0</v>
      </c>
      <c r="G24" s="28">
        <v>0</v>
      </c>
      <c r="H24" s="29">
        <v>5</v>
      </c>
    </row>
    <row r="25" spans="2:8" ht="30" customHeight="1">
      <c r="C25" s="63" t="s">
        <v>96</v>
      </c>
      <c r="D25" s="63"/>
      <c r="E25" s="63"/>
      <c r="F25" s="63"/>
      <c r="G25" s="63"/>
      <c r="H25" s="63"/>
    </row>
  </sheetData>
  <mergeCells count="9">
    <mergeCell ref="B21:B24"/>
    <mergeCell ref="C16:H16"/>
    <mergeCell ref="C25:H25"/>
    <mergeCell ref="E1:H1"/>
    <mergeCell ref="B3:B6"/>
    <mergeCell ref="E10:H10"/>
    <mergeCell ref="B12:B15"/>
    <mergeCell ref="E19:H19"/>
    <mergeCell ref="C7:H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E02DD-0B70-451B-B4CF-BA09026C450A}">
  <dimension ref="B1:N8"/>
  <sheetViews>
    <sheetView workbookViewId="0">
      <selection activeCell="H6" sqref="H6"/>
    </sheetView>
  </sheetViews>
  <sheetFormatPr defaultRowHeight="15"/>
  <sheetData>
    <row r="1" spans="2:14" ht="15.75">
      <c r="B1" s="8"/>
      <c r="C1" s="9"/>
      <c r="D1" s="10"/>
      <c r="E1" s="64" t="s">
        <v>13</v>
      </c>
      <c r="F1" s="64"/>
      <c r="G1" s="64"/>
      <c r="H1" s="65"/>
    </row>
    <row r="2" spans="2:14">
      <c r="B2" s="11"/>
      <c r="C2" s="12"/>
      <c r="D2" s="13"/>
      <c r="E2" s="14">
        <v>10</v>
      </c>
      <c r="F2" s="14">
        <v>20</v>
      </c>
      <c r="G2" s="14">
        <v>30</v>
      </c>
      <c r="H2" s="15">
        <v>40</v>
      </c>
      <c r="N2" s="59"/>
    </row>
    <row r="3" spans="2:14">
      <c r="B3" s="11"/>
      <c r="C3" s="12"/>
      <c r="D3" s="13"/>
      <c r="E3" s="14" t="s">
        <v>19</v>
      </c>
      <c r="F3" s="14" t="s">
        <v>20</v>
      </c>
      <c r="G3" s="14" t="s">
        <v>21</v>
      </c>
      <c r="H3" s="15" t="s">
        <v>22</v>
      </c>
    </row>
    <row r="4" spans="2:14">
      <c r="B4" s="61" t="s">
        <v>18</v>
      </c>
      <c r="C4" s="14">
        <v>10</v>
      </c>
      <c r="D4" s="16" t="s">
        <v>19</v>
      </c>
      <c r="E4" s="17" t="str" cm="1">
        <f t="array" aca="1" ref="E4" ca="1">IFERROR(_xlfn.TEXTJOIN(", ",TRUE, _xlfn._xlws.FILTER(Risks[Risk ID],Risks[Likelihood-Impact]=_xlfn.CONCAT(E2,C4))),"")</f>
        <v>6</v>
      </c>
      <c r="F4" s="18" t="str" cm="1">
        <f t="array" aca="1" ref="F4" ca="1">IFERROR(_xlfn.TEXTJOIN(", ",TRUE, _xlfn._xlws.FILTER(Risks[Risk ID],Risks[Likelihood-Impact]=_xlfn.CONCAT(F2,C4))),"")</f>
        <v/>
      </c>
      <c r="G4" s="19" t="str" cm="1">
        <f t="array" aca="1" ref="G4" ca="1">IFERROR(_xlfn.TEXTJOIN(", ",TRUE, _xlfn._xlws.FILTER(Risks[Risk ID],Risks[Likelihood-Impact]=_xlfn.CONCAT(G2,C4))),"")</f>
        <v/>
      </c>
      <c r="H4" s="20" t="str" cm="1">
        <f t="array" aca="1" ref="H4" ca="1">IFERROR(_xlfn.TEXTJOIN(", ",TRUE, _xlfn._xlws.FILTER(Risks[Risk ID],Risks[Likelihood-Impact]=_xlfn.CONCAT(H2,C4))),"")</f>
        <v/>
      </c>
      <c r="N4" s="59"/>
    </row>
    <row r="5" spans="2:14">
      <c r="B5" s="61"/>
      <c r="C5" s="14">
        <v>20</v>
      </c>
      <c r="D5" s="16" t="s">
        <v>20</v>
      </c>
      <c r="E5" s="18" t="str" cm="1">
        <f t="array" aca="1" ref="E5" ca="1">IFERROR(_xlfn.TEXTJOIN(", ",TRUE, _xlfn._xlws.FILTER(Risks[Risk ID],Risks[Likelihood-Impact]=_xlfn.CONCAT(E2,C5))),"")</f>
        <v>4, 7</v>
      </c>
      <c r="F5" s="19" t="str" cm="1">
        <f t="array" aca="1" ref="F5" ca="1">IFERROR(_xlfn.TEXTJOIN(", ",TRUE, _xlfn._xlws.FILTER(Risks[Risk ID],Risks[Likelihood-Impact]=_xlfn.CONCAT(F2,C5))),"")</f>
        <v/>
      </c>
      <c r="G5" s="21" t="str" cm="1">
        <f t="array" aca="1" ref="G5" ca="1">IFERROR(_xlfn.TEXTJOIN(", ",TRUE, _xlfn._xlws.FILTER(Risks[Risk ID],Risks[Likelihood-Impact]=_xlfn.CONCAT(G2,C5))),"")</f>
        <v/>
      </c>
      <c r="H5" s="22" t="str" cm="1">
        <f t="array" aca="1" ref="H5" ca="1">IFERROR(_xlfn.TEXTJOIN(", ",TRUE, _xlfn._xlws.FILTER(Risks[Risk ID],Risks[Likelihood-Impact]=_xlfn.CONCAT(H2,C5))),"")</f>
        <v/>
      </c>
    </row>
    <row r="6" spans="2:14">
      <c r="B6" s="61"/>
      <c r="C6" s="14">
        <v>30</v>
      </c>
      <c r="D6" s="16" t="s">
        <v>21</v>
      </c>
      <c r="E6" s="18" t="str" cm="1">
        <f t="array" aca="1" ref="E6" ca="1">IFERROR(_xlfn.TEXTJOIN(", ",TRUE, _xlfn._xlws.FILTER(Risks[Risk ID],Risks[Likelihood-Impact]=_xlfn.CONCAT(E2,C6))),"")</f>
        <v>5, 8</v>
      </c>
      <c r="F6" s="19" t="str" cm="1">
        <f t="array" aca="1" ref="F6" ca="1">IFERROR(_xlfn.TEXTJOIN(", ",TRUE, _xlfn._xlws.FILTER(Risks[Risk ID],Risks[Likelihood-Impact]=_xlfn.CONCAT(F2,C6))),"")</f>
        <v>9</v>
      </c>
      <c r="G6" s="21" t="str" cm="1">
        <f t="array" aca="1" ref="G6" ca="1">IFERROR(_xlfn.TEXTJOIN(", ",TRUE, _xlfn._xlws.FILTER(Risks[Risk ID],Risks[Likelihood-Impact]=_xlfn.CONCAT(G2,C6))),"")</f>
        <v/>
      </c>
      <c r="H6" s="23" t="str" cm="1">
        <f t="array" aca="1" ref="H6" ca="1">IFERROR(_xlfn.TEXTJOIN(", ",TRUE, _xlfn._xlws.FILTER(Risks[Risk ID],Risks[Likelihood-Impact]=_xlfn.CONCAT(H2,C6))),"")</f>
        <v>2</v>
      </c>
    </row>
    <row r="7" spans="2:14">
      <c r="B7" s="62"/>
      <c r="C7" s="24">
        <v>40</v>
      </c>
      <c r="D7" s="25" t="s">
        <v>22</v>
      </c>
      <c r="E7" s="26" t="str" cm="1">
        <f t="array" aca="1" ref="E7" ca="1">IFERROR(_xlfn.TEXTJOIN(", ",TRUE, _xlfn._xlws.FILTER(Risks[Risk ID],Risks[Likelihood-Impact]=_xlfn.CONCAT(E2,C7))),"")</f>
        <v>1</v>
      </c>
      <c r="F7" s="27" t="str" cm="1">
        <f t="array" aca="1" ref="F7" ca="1">IFERROR(_xlfn.TEXTJOIN(", ",TRUE, _xlfn._xlws.FILTER(Risks[Risk ID],Risks[Likelihood-Impact]=_xlfn.CONCAT(F2,C7))),"")</f>
        <v/>
      </c>
      <c r="G7" s="28" t="str" cm="1">
        <f t="array" aca="1" ref="G7" ca="1">IFERROR(_xlfn.TEXTJOIN(", ",TRUE, _xlfn._xlws.FILTER(Risks[Risk ID],Risks[Likelihood-Impact]=_xlfn.CONCAT(G2,C7))),"")</f>
        <v/>
      </c>
      <c r="H7" s="29" t="str" cm="1">
        <f t="array" aca="1" ref="H7" ca="1">IFERROR(_xlfn.TEXTJOIN(", ",TRUE, _xlfn._xlws.FILTER(Risks[Risk ID],Risks[Likelihood-Impact]=_xlfn.CONCAT(H2,C7))),"")</f>
        <v>3</v>
      </c>
    </row>
    <row r="8" spans="2:14">
      <c r="C8" s="68" t="s">
        <v>106</v>
      </c>
      <c r="D8" s="68"/>
      <c r="E8" s="68"/>
      <c r="F8" s="68"/>
      <c r="G8" s="68"/>
      <c r="H8" s="68"/>
    </row>
  </sheetData>
  <mergeCells count="3">
    <mergeCell ref="E1:H1"/>
    <mergeCell ref="B4:B7"/>
    <mergeCell ref="C8:H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A5C86-6B6B-4991-B471-05663AE45CD3}">
  <dimension ref="A1:I16"/>
  <sheetViews>
    <sheetView workbookViewId="0">
      <selection activeCell="L14" sqref="L14"/>
    </sheetView>
  </sheetViews>
  <sheetFormatPr defaultRowHeight="15"/>
  <cols>
    <col min="3" max="3" width="33.140625" customWidth="1"/>
    <col min="4" max="4" width="27" customWidth="1"/>
  </cols>
  <sheetData>
    <row r="1" spans="1:9" ht="20.25">
      <c r="A1" s="38" t="s">
        <v>39</v>
      </c>
      <c r="B1" s="30"/>
      <c r="C1" s="31"/>
      <c r="D1" s="32"/>
      <c r="E1" s="32"/>
    </row>
    <row r="2" spans="1:9">
      <c r="A2" s="39" t="s">
        <v>40</v>
      </c>
      <c r="B2" s="32"/>
      <c r="C2" s="30"/>
      <c r="D2" s="32"/>
      <c r="E2" s="32"/>
    </row>
    <row r="3" spans="1:9" ht="20.25">
      <c r="A3" s="31"/>
      <c r="B3" s="31"/>
      <c r="C3" s="31"/>
      <c r="D3" s="31"/>
      <c r="E3" s="31"/>
    </row>
    <row r="4" spans="1:9" ht="20.25">
      <c r="A4" s="31"/>
      <c r="B4" s="69" t="s">
        <v>13</v>
      </c>
      <c r="C4" s="69"/>
      <c r="D4" s="69"/>
      <c r="E4" s="31"/>
    </row>
    <row r="5" spans="1:9" ht="25.5" customHeight="1">
      <c r="A5" s="40"/>
      <c r="B5" s="33" t="s">
        <v>23</v>
      </c>
      <c r="C5" s="33" t="s">
        <v>24</v>
      </c>
      <c r="D5" s="33" t="s">
        <v>25</v>
      </c>
      <c r="E5" s="33"/>
    </row>
    <row r="6" spans="1:9">
      <c r="A6" s="41"/>
      <c r="B6" s="34">
        <v>10</v>
      </c>
      <c r="C6" s="35" t="s">
        <v>26</v>
      </c>
      <c r="D6" s="36">
        <v>0.25</v>
      </c>
      <c r="E6" s="36"/>
      <c r="G6" s="70" t="s">
        <v>104</v>
      </c>
      <c r="H6" s="70"/>
      <c r="I6" s="70"/>
    </row>
    <row r="7" spans="1:9" ht="15" customHeight="1">
      <c r="A7" s="41"/>
      <c r="B7" s="34">
        <v>20</v>
      </c>
      <c r="C7" s="35" t="s">
        <v>27</v>
      </c>
      <c r="D7" s="36">
        <v>0.5</v>
      </c>
      <c r="E7" s="36"/>
      <c r="G7" s="70"/>
      <c r="H7" s="70"/>
      <c r="I7" s="70"/>
    </row>
    <row r="8" spans="1:9">
      <c r="A8" s="41"/>
      <c r="B8" s="34">
        <v>30</v>
      </c>
      <c r="C8" s="35" t="s">
        <v>28</v>
      </c>
      <c r="D8" s="36">
        <v>0.75</v>
      </c>
      <c r="E8" s="36"/>
      <c r="G8" s="70"/>
      <c r="H8" s="70"/>
      <c r="I8" s="70"/>
    </row>
    <row r="9" spans="1:9" ht="38.25">
      <c r="A9" s="41"/>
      <c r="B9" s="34">
        <v>40</v>
      </c>
      <c r="C9" s="35" t="s">
        <v>29</v>
      </c>
      <c r="D9" s="36">
        <v>1</v>
      </c>
      <c r="E9" s="36"/>
      <c r="G9" s="70"/>
      <c r="H9" s="70"/>
      <c r="I9" s="70"/>
    </row>
    <row r="10" spans="1:9">
      <c r="A10" s="41"/>
      <c r="B10" s="32"/>
      <c r="C10" s="30"/>
      <c r="D10" s="32"/>
      <c r="E10" s="32"/>
    </row>
    <row r="11" spans="1:9" ht="18">
      <c r="A11" s="41"/>
      <c r="B11" s="69" t="s">
        <v>18</v>
      </c>
      <c r="C11" s="69"/>
      <c r="D11" s="69"/>
      <c r="E11" s="32"/>
    </row>
    <row r="12" spans="1:9" ht="25.5" customHeight="1">
      <c r="A12" s="41"/>
      <c r="B12" s="33" t="s">
        <v>23</v>
      </c>
      <c r="C12" s="33" t="s">
        <v>24</v>
      </c>
      <c r="D12" s="33" t="s">
        <v>30</v>
      </c>
      <c r="E12" s="32"/>
    </row>
    <row r="13" spans="1:9" ht="38.25">
      <c r="A13" s="41"/>
      <c r="B13" s="34">
        <v>10</v>
      </c>
      <c r="C13" s="35" t="s">
        <v>31</v>
      </c>
      <c r="D13" s="37" t="s">
        <v>32</v>
      </c>
      <c r="E13" s="32"/>
      <c r="G13" s="70" t="s">
        <v>105</v>
      </c>
      <c r="H13" s="70"/>
      <c r="I13" s="70"/>
    </row>
    <row r="14" spans="1:9" ht="63.75">
      <c r="A14" s="41"/>
      <c r="B14" s="34">
        <v>20</v>
      </c>
      <c r="C14" s="35" t="s">
        <v>33</v>
      </c>
      <c r="D14" s="37" t="s">
        <v>34</v>
      </c>
      <c r="E14" s="32"/>
      <c r="G14" s="70"/>
      <c r="H14" s="70"/>
      <c r="I14" s="70"/>
    </row>
    <row r="15" spans="1:9" ht="63.75">
      <c r="A15" s="41"/>
      <c r="B15" s="34">
        <v>30</v>
      </c>
      <c r="C15" s="35" t="s">
        <v>35</v>
      </c>
      <c r="D15" s="37" t="s">
        <v>36</v>
      </c>
      <c r="E15" s="32"/>
      <c r="G15" s="70"/>
      <c r="H15" s="70"/>
      <c r="I15" s="70"/>
    </row>
    <row r="16" spans="1:9" ht="76.5">
      <c r="A16" s="41"/>
      <c r="B16" s="34">
        <v>40</v>
      </c>
      <c r="C16" s="35" t="s">
        <v>37</v>
      </c>
      <c r="D16" s="37" t="s">
        <v>38</v>
      </c>
      <c r="E16" s="32"/>
      <c r="G16" s="70"/>
      <c r="H16" s="70"/>
      <c r="I16" s="70"/>
    </row>
  </sheetData>
  <mergeCells count="4">
    <mergeCell ref="B4:D4"/>
    <mergeCell ref="G6:I9"/>
    <mergeCell ref="G13:I16"/>
    <mergeCell ref="B11:D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E6D9F-1F78-4C44-835F-A2C65616613D}">
  <dimension ref="A1:K35"/>
  <sheetViews>
    <sheetView workbookViewId="0">
      <selection activeCell="K32" sqref="K32"/>
    </sheetView>
  </sheetViews>
  <sheetFormatPr defaultRowHeight="15"/>
  <cols>
    <col min="1" max="1" width="7.28515625" customWidth="1"/>
    <col min="2" max="2" width="16.28515625" bestFit="1" customWidth="1"/>
    <col min="3" max="7" width="14.28515625" customWidth="1"/>
    <col min="10" max="10" width="9.42578125" customWidth="1"/>
  </cols>
  <sheetData>
    <row r="1" spans="1:11" ht="15.75" thickBot="1">
      <c r="C1" s="71" t="s">
        <v>72</v>
      </c>
      <c r="D1" s="72"/>
      <c r="E1" s="72"/>
      <c r="F1" s="72"/>
      <c r="G1" s="73"/>
    </row>
    <row r="2" spans="1:11" ht="15.75" thickBot="1">
      <c r="C2" s="54" t="s">
        <v>73</v>
      </c>
      <c r="D2" s="54" t="s">
        <v>74</v>
      </c>
      <c r="E2" s="54" t="s">
        <v>75</v>
      </c>
      <c r="F2" s="54" t="s">
        <v>76</v>
      </c>
      <c r="G2" s="54" t="s">
        <v>77</v>
      </c>
    </row>
    <row r="3" spans="1:11" ht="15" customHeight="1" thickBot="1">
      <c r="A3" s="74" t="s">
        <v>71</v>
      </c>
      <c r="B3" s="45" t="s">
        <v>66</v>
      </c>
      <c r="C3" s="47" t="s">
        <v>80</v>
      </c>
      <c r="D3" s="47" t="s">
        <v>80</v>
      </c>
      <c r="E3" s="51" t="s">
        <v>81</v>
      </c>
      <c r="F3" s="51" t="s">
        <v>81</v>
      </c>
      <c r="G3" s="51" t="s">
        <v>81</v>
      </c>
      <c r="I3" s="51" t="s">
        <v>81</v>
      </c>
      <c r="K3" s="44" t="s">
        <v>82</v>
      </c>
    </row>
    <row r="4" spans="1:11" ht="15.75" thickBot="1">
      <c r="A4" s="75"/>
      <c r="B4" s="45" t="s">
        <v>67</v>
      </c>
      <c r="C4" s="48" t="s">
        <v>79</v>
      </c>
      <c r="D4" s="47" t="s">
        <v>80</v>
      </c>
      <c r="E4" s="47" t="s">
        <v>80</v>
      </c>
      <c r="F4" s="51" t="s">
        <v>81</v>
      </c>
      <c r="G4" s="51" t="s">
        <v>81</v>
      </c>
      <c r="I4" s="47" t="s">
        <v>80</v>
      </c>
      <c r="K4" s="44" t="s">
        <v>21</v>
      </c>
    </row>
    <row r="5" spans="1:11" ht="15.75" thickBot="1">
      <c r="A5" s="75"/>
      <c r="B5" s="45" t="s">
        <v>68</v>
      </c>
      <c r="C5" s="49" t="s">
        <v>78</v>
      </c>
      <c r="D5" s="48" t="s">
        <v>79</v>
      </c>
      <c r="E5" s="47" t="s">
        <v>80</v>
      </c>
      <c r="F5" s="51" t="s">
        <v>81</v>
      </c>
      <c r="G5" s="51" t="s">
        <v>81</v>
      </c>
      <c r="I5" s="48" t="s">
        <v>79</v>
      </c>
      <c r="K5" s="44" t="s">
        <v>83</v>
      </c>
    </row>
    <row r="6" spans="1:11" ht="15.75" thickBot="1">
      <c r="A6" s="75"/>
      <c r="B6" s="45" t="s">
        <v>69</v>
      </c>
      <c r="C6" s="49" t="s">
        <v>78</v>
      </c>
      <c r="D6" s="49" t="s">
        <v>78</v>
      </c>
      <c r="E6" s="48" t="s">
        <v>79</v>
      </c>
      <c r="F6" s="47" t="s">
        <v>80</v>
      </c>
      <c r="G6" s="51" t="s">
        <v>81</v>
      </c>
      <c r="I6" s="50" t="s">
        <v>78</v>
      </c>
      <c r="K6" s="44" t="s">
        <v>19</v>
      </c>
    </row>
    <row r="7" spans="1:11" ht="15.75" thickBot="1">
      <c r="A7" s="76"/>
      <c r="B7" s="46" t="s">
        <v>70</v>
      </c>
      <c r="C7" s="50" t="s">
        <v>78</v>
      </c>
      <c r="D7" s="50" t="s">
        <v>78</v>
      </c>
      <c r="E7" s="52" t="s">
        <v>79</v>
      </c>
      <c r="F7" s="53" t="s">
        <v>80</v>
      </c>
      <c r="G7" s="53" t="s">
        <v>80</v>
      </c>
    </row>
    <row r="8" spans="1:11">
      <c r="B8" s="77" t="s">
        <v>93</v>
      </c>
      <c r="C8" s="77"/>
      <c r="D8" s="77"/>
      <c r="E8" s="77"/>
      <c r="F8" s="77"/>
      <c r="G8" s="77"/>
    </row>
    <row r="9" spans="1:11" ht="15.75" thickBot="1"/>
    <row r="10" spans="1:11" ht="15.75" thickBot="1">
      <c r="C10" s="71" t="s">
        <v>3</v>
      </c>
      <c r="D10" s="72"/>
      <c r="E10" s="72"/>
      <c r="F10" s="72"/>
      <c r="G10" s="73"/>
    </row>
    <row r="11" spans="1:11" ht="15.75" thickBot="1">
      <c r="C11" s="54" t="s">
        <v>85</v>
      </c>
      <c r="D11" s="54" t="s">
        <v>86</v>
      </c>
      <c r="E11" s="54" t="s">
        <v>87</v>
      </c>
      <c r="F11" s="54" t="s">
        <v>88</v>
      </c>
      <c r="G11" s="54" t="s">
        <v>89</v>
      </c>
    </row>
    <row r="12" spans="1:11" ht="15.75" thickBot="1">
      <c r="A12" s="74" t="s">
        <v>84</v>
      </c>
      <c r="B12" s="45" t="s">
        <v>89</v>
      </c>
      <c r="C12" s="47">
        <v>5</v>
      </c>
      <c r="D12" s="47">
        <v>10</v>
      </c>
      <c r="E12" s="51">
        <v>15</v>
      </c>
      <c r="F12" s="51">
        <v>20</v>
      </c>
      <c r="G12" s="51">
        <v>25</v>
      </c>
    </row>
    <row r="13" spans="1:11" ht="15.75" thickBot="1">
      <c r="A13" s="75"/>
      <c r="B13" s="45" t="s">
        <v>88</v>
      </c>
      <c r="C13" s="48">
        <v>4</v>
      </c>
      <c r="D13" s="47">
        <v>8</v>
      </c>
      <c r="E13" s="47">
        <v>12</v>
      </c>
      <c r="F13" s="51">
        <v>16</v>
      </c>
      <c r="G13" s="51">
        <v>20</v>
      </c>
      <c r="I13" s="47" t="s">
        <v>80</v>
      </c>
      <c r="K13" s="44" t="s">
        <v>91</v>
      </c>
    </row>
    <row r="14" spans="1:11" ht="15.75" thickBot="1">
      <c r="A14" s="75"/>
      <c r="B14" s="45" t="s">
        <v>87</v>
      </c>
      <c r="C14" s="49">
        <v>3</v>
      </c>
      <c r="D14" s="48">
        <v>6</v>
      </c>
      <c r="E14" s="47">
        <v>9</v>
      </c>
      <c r="F14" s="51">
        <v>12</v>
      </c>
      <c r="G14" s="51">
        <v>15</v>
      </c>
      <c r="I14" s="48" t="s">
        <v>79</v>
      </c>
      <c r="K14" s="44" t="s">
        <v>83</v>
      </c>
    </row>
    <row r="15" spans="1:11" ht="15.75" thickBot="1">
      <c r="A15" s="75"/>
      <c r="B15" s="45" t="s">
        <v>86</v>
      </c>
      <c r="C15" s="49">
        <v>2</v>
      </c>
      <c r="D15" s="49">
        <v>4</v>
      </c>
      <c r="E15" s="48">
        <v>6</v>
      </c>
      <c r="F15" s="47">
        <v>8</v>
      </c>
      <c r="G15" s="51">
        <v>10</v>
      </c>
      <c r="I15" s="50" t="s">
        <v>78</v>
      </c>
      <c r="K15" s="44" t="s">
        <v>90</v>
      </c>
    </row>
    <row r="16" spans="1:11" ht="15.75" thickBot="1">
      <c r="A16" s="76"/>
      <c r="B16" s="46" t="s">
        <v>85</v>
      </c>
      <c r="C16" s="50">
        <v>1</v>
      </c>
      <c r="D16" s="50">
        <v>2</v>
      </c>
      <c r="E16" s="52">
        <v>3</v>
      </c>
      <c r="F16" s="53">
        <v>4</v>
      </c>
      <c r="G16" s="53">
        <v>5</v>
      </c>
    </row>
    <row r="17" spans="1:11">
      <c r="B17" s="77" t="s">
        <v>94</v>
      </c>
      <c r="C17" s="77"/>
      <c r="D17" s="77"/>
      <c r="E17" s="77"/>
      <c r="F17" s="77"/>
      <c r="G17" s="77"/>
    </row>
    <row r="18" spans="1:11" ht="18.75" thickBot="1">
      <c r="I18" s="56"/>
    </row>
    <row r="19" spans="1:11" ht="15.75" thickBot="1">
      <c r="C19" s="71" t="s">
        <v>3</v>
      </c>
      <c r="D19" s="72"/>
      <c r="E19" s="72"/>
      <c r="F19" s="72"/>
      <c r="G19" s="73"/>
    </row>
    <row r="20" spans="1:11" ht="15.75" thickBot="1">
      <c r="C20" s="54" t="s">
        <v>85</v>
      </c>
      <c r="D20" s="54" t="s">
        <v>86</v>
      </c>
      <c r="E20" s="54" t="s">
        <v>87</v>
      </c>
      <c r="F20" s="54" t="s">
        <v>88</v>
      </c>
      <c r="G20" s="54" t="s">
        <v>89</v>
      </c>
    </row>
    <row r="21" spans="1:11" ht="15.75" thickBot="1">
      <c r="A21" s="74" t="s">
        <v>84</v>
      </c>
      <c r="B21" s="45" t="s">
        <v>89</v>
      </c>
      <c r="C21" s="47">
        <v>5</v>
      </c>
      <c r="D21" s="47">
        <v>10</v>
      </c>
      <c r="E21" s="51">
        <v>15</v>
      </c>
      <c r="F21" s="51">
        <v>20</v>
      </c>
      <c r="G21" s="51">
        <v>25</v>
      </c>
      <c r="I21" s="51" t="s">
        <v>81</v>
      </c>
      <c r="K21" t="s">
        <v>97</v>
      </c>
    </row>
    <row r="22" spans="1:11" ht="15.75" thickBot="1">
      <c r="A22" s="75"/>
      <c r="B22" s="45" t="s">
        <v>88</v>
      </c>
      <c r="C22" s="48">
        <v>4</v>
      </c>
      <c r="D22" s="47">
        <v>8</v>
      </c>
      <c r="E22" s="47">
        <v>12</v>
      </c>
      <c r="F22" s="51">
        <v>16</v>
      </c>
      <c r="G22" s="51">
        <v>20</v>
      </c>
      <c r="I22" s="47" t="s">
        <v>80</v>
      </c>
      <c r="K22" s="44" t="s">
        <v>100</v>
      </c>
    </row>
    <row r="23" spans="1:11" ht="15.75" thickBot="1">
      <c r="A23" s="75"/>
      <c r="B23" s="45" t="s">
        <v>87</v>
      </c>
      <c r="C23" s="49">
        <v>3</v>
      </c>
      <c r="D23" s="48">
        <v>6</v>
      </c>
      <c r="E23" s="47">
        <v>9</v>
      </c>
      <c r="F23" s="51">
        <v>12</v>
      </c>
      <c r="G23" s="51">
        <v>15</v>
      </c>
      <c r="I23" s="48" t="s">
        <v>79</v>
      </c>
      <c r="K23" s="44" t="s">
        <v>99</v>
      </c>
    </row>
    <row r="24" spans="1:11" ht="15.75" thickBot="1">
      <c r="A24" s="75"/>
      <c r="B24" s="45" t="s">
        <v>86</v>
      </c>
      <c r="C24" s="49">
        <v>2</v>
      </c>
      <c r="D24" s="49">
        <v>4</v>
      </c>
      <c r="E24" s="48">
        <v>6</v>
      </c>
      <c r="F24" s="47">
        <v>8</v>
      </c>
      <c r="G24" s="51">
        <v>10</v>
      </c>
      <c r="I24" s="50" t="s">
        <v>78</v>
      </c>
      <c r="K24" s="44" t="s">
        <v>98</v>
      </c>
    </row>
    <row r="25" spans="1:11" ht="15.75" thickBot="1">
      <c r="A25" s="76"/>
      <c r="B25" s="46" t="s">
        <v>85</v>
      </c>
      <c r="C25" s="50">
        <v>1</v>
      </c>
      <c r="D25" s="50">
        <v>2</v>
      </c>
      <c r="E25" s="52">
        <v>3</v>
      </c>
      <c r="F25" s="53">
        <v>4</v>
      </c>
      <c r="G25" s="53">
        <v>5</v>
      </c>
    </row>
    <row r="26" spans="1:11">
      <c r="B26" s="77" t="s">
        <v>103</v>
      </c>
      <c r="C26" s="77"/>
      <c r="D26" s="77"/>
      <c r="E26" s="77"/>
      <c r="F26" s="77"/>
      <c r="G26" s="77"/>
    </row>
    <row r="27" spans="1:11" ht="15.75" thickBot="1"/>
    <row r="28" spans="1:11" ht="15.75" thickBot="1">
      <c r="C28" s="71" t="s">
        <v>3</v>
      </c>
      <c r="D28" s="72"/>
      <c r="E28" s="72"/>
      <c r="F28" s="72"/>
      <c r="G28" s="73"/>
    </row>
    <row r="29" spans="1:11" ht="15.75" thickBot="1">
      <c r="C29" s="54" t="s">
        <v>85</v>
      </c>
      <c r="D29" s="54" t="s">
        <v>86</v>
      </c>
      <c r="E29" s="54" t="s">
        <v>87</v>
      </c>
      <c r="F29" s="54" t="s">
        <v>88</v>
      </c>
      <c r="G29" s="54" t="s">
        <v>89</v>
      </c>
    </row>
    <row r="30" spans="1:11" ht="15.75" thickBot="1">
      <c r="A30" s="74" t="s">
        <v>84</v>
      </c>
      <c r="B30" s="45" t="s">
        <v>89</v>
      </c>
      <c r="C30" s="47">
        <v>5</v>
      </c>
      <c r="D30" s="47">
        <v>10</v>
      </c>
      <c r="E30" s="51">
        <v>15</v>
      </c>
      <c r="F30" s="51">
        <v>20</v>
      </c>
      <c r="G30" s="51">
        <v>25</v>
      </c>
      <c r="I30" s="51" t="s">
        <v>81</v>
      </c>
      <c r="K30" t="s">
        <v>97</v>
      </c>
    </row>
    <row r="31" spans="1:11" ht="15.75" thickBot="1">
      <c r="A31" s="75"/>
      <c r="B31" s="45" t="s">
        <v>88</v>
      </c>
      <c r="C31" s="48">
        <v>4</v>
      </c>
      <c r="D31" s="47">
        <v>8</v>
      </c>
      <c r="E31" s="47">
        <v>12</v>
      </c>
      <c r="F31" s="51">
        <v>16</v>
      </c>
      <c r="G31" s="51">
        <v>20</v>
      </c>
      <c r="I31" s="47" t="s">
        <v>80</v>
      </c>
      <c r="K31" s="44" t="s">
        <v>100</v>
      </c>
    </row>
    <row r="32" spans="1:11" ht="15.75" thickBot="1">
      <c r="A32" s="75"/>
      <c r="B32" s="45" t="s">
        <v>87</v>
      </c>
      <c r="C32" s="49">
        <v>3</v>
      </c>
      <c r="D32" s="48">
        <v>6</v>
      </c>
      <c r="E32" s="47">
        <v>9</v>
      </c>
      <c r="F32" s="51">
        <v>12</v>
      </c>
      <c r="G32" s="51">
        <v>15</v>
      </c>
      <c r="I32" s="48" t="s">
        <v>79</v>
      </c>
      <c r="K32" s="44" t="s">
        <v>99</v>
      </c>
    </row>
    <row r="33" spans="1:11" ht="15.75" thickBot="1">
      <c r="A33" s="75"/>
      <c r="B33" s="45" t="s">
        <v>86</v>
      </c>
      <c r="C33" s="49">
        <v>2</v>
      </c>
      <c r="D33" s="49">
        <v>4</v>
      </c>
      <c r="E33" s="48">
        <v>6</v>
      </c>
      <c r="F33" s="47">
        <v>8</v>
      </c>
      <c r="G33" s="51">
        <v>10</v>
      </c>
      <c r="I33" s="50" t="s">
        <v>78</v>
      </c>
      <c r="K33" s="44" t="s">
        <v>111</v>
      </c>
    </row>
    <row r="34" spans="1:11" ht="15.75" thickBot="1">
      <c r="A34" s="76"/>
      <c r="B34" s="46" t="s">
        <v>85</v>
      </c>
      <c r="C34" s="50">
        <v>1</v>
      </c>
      <c r="D34" s="50">
        <v>2</v>
      </c>
      <c r="E34" s="52">
        <v>3</v>
      </c>
      <c r="F34" s="53">
        <v>4</v>
      </c>
      <c r="G34" s="53">
        <v>5</v>
      </c>
      <c r="I34" s="60" t="s">
        <v>109</v>
      </c>
      <c r="K34" s="44" t="s">
        <v>110</v>
      </c>
    </row>
    <row r="35" spans="1:11">
      <c r="B35" s="77" t="s">
        <v>108</v>
      </c>
      <c r="C35" s="77"/>
      <c r="D35" s="77"/>
      <c r="E35" s="77"/>
      <c r="F35" s="77"/>
      <c r="G35" s="77"/>
    </row>
  </sheetData>
  <mergeCells count="12">
    <mergeCell ref="B17:G17"/>
    <mergeCell ref="A3:A7"/>
    <mergeCell ref="C1:G1"/>
    <mergeCell ref="C10:G10"/>
    <mergeCell ref="A12:A16"/>
    <mergeCell ref="B8:G8"/>
    <mergeCell ref="C28:G28"/>
    <mergeCell ref="A30:A34"/>
    <mergeCell ref="B35:G35"/>
    <mergeCell ref="C19:G19"/>
    <mergeCell ref="A21:A25"/>
    <mergeCell ref="B26:G26"/>
  </mergeCells>
  <conditionalFormatting sqref="C12:G16">
    <cfRule type="cellIs" dxfId="14" priority="23" operator="greaterThan">
      <formula>9</formula>
    </cfRule>
    <cfRule type="cellIs" dxfId="13" priority="24" operator="between">
      <formula>5</formula>
      <formula>9</formula>
    </cfRule>
    <cfRule type="cellIs" dxfId="12" priority="25" operator="lessThan">
      <formula>5</formula>
    </cfRule>
    <cfRule type="colorScale" priority="27">
      <colorScale>
        <cfvo type="num" val="&quot;&lt;5&quot;"/>
        <cfvo type="percentile" val="50"/>
        <cfvo type="num" val="&quot;&gt;9&quot;"/>
        <color rgb="FF92D050"/>
        <color rgb="FFFFEB84"/>
        <color rgb="FFFF0000"/>
      </colorScale>
    </cfRule>
    <cfRule type="colorScale" priority="28">
      <colorScale>
        <cfvo type="num" val="44287"/>
        <cfvo type="num" val="44444"/>
        <cfvo type="num" val="45931"/>
        <color rgb="FF92D050"/>
        <color rgb="FFFFFF00"/>
        <color rgb="FFFFC000"/>
      </colorScale>
    </cfRule>
  </conditionalFormatting>
  <conditionalFormatting sqref="C12">
    <cfRule type="cellIs" dxfId="11" priority="26" operator="lessThan">
      <formula>5</formula>
    </cfRule>
  </conditionalFormatting>
  <conditionalFormatting sqref="C21:G25">
    <cfRule type="cellIs" dxfId="10" priority="16" operator="greaterThanOrEqual">
      <formula>20</formula>
    </cfRule>
    <cfRule type="cellIs" dxfId="9" priority="17" operator="between">
      <formula>10</formula>
      <formula>19</formula>
    </cfRule>
    <cfRule type="cellIs" dxfId="8" priority="18" operator="between">
      <formula>5</formula>
      <formula>9</formula>
    </cfRule>
    <cfRule type="cellIs" dxfId="7" priority="19" operator="lessThan">
      <formula>5</formula>
    </cfRule>
    <cfRule type="colorScale" priority="21">
      <colorScale>
        <cfvo type="num" val="&quot;&lt;5&quot;"/>
        <cfvo type="percentile" val="50"/>
        <cfvo type="num" val="&quot;&gt;9&quot;"/>
        <color rgb="FF92D050"/>
        <color rgb="FFFFEB84"/>
        <color rgb="FFFF0000"/>
      </colorScale>
    </cfRule>
    <cfRule type="colorScale" priority="22">
      <colorScale>
        <cfvo type="num" val="44287"/>
        <cfvo type="num" val="44444"/>
        <cfvo type="num" val="45931"/>
        <color rgb="FF92D050"/>
        <color rgb="FFFFFF00"/>
        <color rgb="FFFFC000"/>
      </colorScale>
    </cfRule>
  </conditionalFormatting>
  <conditionalFormatting sqref="C21">
    <cfRule type="cellIs" dxfId="6" priority="20" operator="lessThan">
      <formula>5</formula>
    </cfRule>
  </conditionalFormatting>
  <conditionalFormatting sqref="C30:G34">
    <cfRule type="cellIs" dxfId="5" priority="8" operator="greaterThanOrEqual">
      <formula>20</formula>
    </cfRule>
    <cfRule type="cellIs" dxfId="4" priority="9" operator="between">
      <formula>10</formula>
      <formula>19</formula>
    </cfRule>
    <cfRule type="cellIs" dxfId="3" priority="10" operator="between">
      <formula>5</formula>
      <formula>9</formula>
    </cfRule>
    <cfRule type="cellIs" dxfId="2" priority="11" operator="between">
      <formula>2</formula>
      <formula>5</formula>
    </cfRule>
    <cfRule type="colorScale" priority="14">
      <colorScale>
        <cfvo type="num" val="&quot;&lt;5&quot;"/>
        <cfvo type="percentile" val="50"/>
        <cfvo type="num" val="&quot;&gt;9&quot;"/>
        <color rgb="FF92D050"/>
        <color rgb="FFFFEB84"/>
        <color rgb="FFFF0000"/>
      </colorScale>
    </cfRule>
    <cfRule type="colorScale" priority="15">
      <colorScale>
        <cfvo type="num" val="44287"/>
        <cfvo type="num" val="44444"/>
        <cfvo type="num" val="45931"/>
        <color rgb="FF92D050"/>
        <color rgb="FFFFFF00"/>
        <color rgb="FFFFC000"/>
      </colorScale>
    </cfRule>
    <cfRule type="cellIs" dxfId="1" priority="12" operator="lessThan">
      <formula>2</formula>
    </cfRule>
  </conditionalFormatting>
  <conditionalFormatting sqref="C30">
    <cfRule type="cellIs" dxfId="0" priority="13" operator="lessThan">
      <formula>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89E81-97C6-40A9-984E-D84EFAC0E6C7}">
  <dimension ref="B1:D16"/>
  <sheetViews>
    <sheetView workbookViewId="0">
      <selection activeCell="B1" sqref="B1:D1"/>
    </sheetView>
  </sheetViews>
  <sheetFormatPr defaultRowHeight="15"/>
  <cols>
    <col min="2" max="2" width="19.5703125" customWidth="1"/>
    <col min="3" max="3" width="45.5703125" customWidth="1"/>
  </cols>
  <sheetData>
    <row r="1" spans="2:4">
      <c r="B1" s="80" t="s">
        <v>102</v>
      </c>
      <c r="C1" s="80"/>
      <c r="D1" s="80"/>
    </row>
    <row r="3" spans="2:4" ht="22.5">
      <c r="B3" s="42" t="s">
        <v>41</v>
      </c>
      <c r="C3" s="42" t="s">
        <v>42</v>
      </c>
      <c r="D3" s="42" t="s">
        <v>43</v>
      </c>
    </row>
    <row r="4" spans="2:4">
      <c r="B4" s="43" t="s">
        <v>44</v>
      </c>
      <c r="C4" s="43" t="s">
        <v>45</v>
      </c>
      <c r="D4" s="43" t="s">
        <v>19</v>
      </c>
    </row>
    <row r="5" spans="2:4">
      <c r="B5" s="43" t="s">
        <v>46</v>
      </c>
      <c r="C5" s="43" t="s">
        <v>47</v>
      </c>
      <c r="D5" s="43" t="s">
        <v>19</v>
      </c>
    </row>
    <row r="6" spans="2:4">
      <c r="B6" s="43" t="s">
        <v>48</v>
      </c>
      <c r="C6" s="43" t="s">
        <v>49</v>
      </c>
      <c r="D6" s="43" t="s">
        <v>19</v>
      </c>
    </row>
    <row r="7" spans="2:4">
      <c r="B7" s="43" t="s">
        <v>50</v>
      </c>
      <c r="C7" s="43" t="s">
        <v>51</v>
      </c>
      <c r="D7" s="43" t="s">
        <v>19</v>
      </c>
    </row>
    <row r="8" spans="2:4">
      <c r="B8" s="43" t="s">
        <v>52</v>
      </c>
      <c r="C8" s="43" t="s">
        <v>53</v>
      </c>
      <c r="D8" s="43" t="s">
        <v>20</v>
      </c>
    </row>
    <row r="9" spans="2:4">
      <c r="B9" s="43" t="s">
        <v>54</v>
      </c>
      <c r="C9" s="43" t="s">
        <v>55</v>
      </c>
      <c r="D9" s="43" t="s">
        <v>20</v>
      </c>
    </row>
    <row r="10" spans="2:4">
      <c r="B10" s="43" t="s">
        <v>56</v>
      </c>
      <c r="C10" s="43" t="s">
        <v>57</v>
      </c>
      <c r="D10" s="43" t="s">
        <v>20</v>
      </c>
    </row>
    <row r="11" spans="2:4">
      <c r="B11" s="43" t="s">
        <v>58</v>
      </c>
      <c r="C11" s="43" t="s">
        <v>59</v>
      </c>
      <c r="D11" s="43" t="s">
        <v>21</v>
      </c>
    </row>
    <row r="12" spans="2:4">
      <c r="B12" s="43" t="s">
        <v>60</v>
      </c>
      <c r="C12" s="43" t="s">
        <v>61</v>
      </c>
      <c r="D12" s="43" t="s">
        <v>21</v>
      </c>
    </row>
    <row r="13" spans="2:4">
      <c r="B13" s="43" t="s">
        <v>62</v>
      </c>
      <c r="C13" s="43" t="s">
        <v>63</v>
      </c>
      <c r="D13" s="43" t="s">
        <v>21</v>
      </c>
    </row>
    <row r="14" spans="2:4">
      <c r="B14" s="43" t="s">
        <v>64</v>
      </c>
      <c r="C14" s="43" t="s">
        <v>65</v>
      </c>
      <c r="D14" s="43" t="s">
        <v>21</v>
      </c>
    </row>
    <row r="16" spans="2:4">
      <c r="B16" s="78" t="s">
        <v>101</v>
      </c>
      <c r="C16" s="79"/>
      <c r="D16" s="79"/>
    </row>
  </sheetData>
  <mergeCells count="2">
    <mergeCell ref="B16:D16"/>
    <mergeCell ref="B1:D1"/>
  </mergeCells>
  <hyperlinks>
    <hyperlink ref="B16" r:id="rId1" xr:uid="{386EB24C-A700-4A5B-92A7-86CE188D4AD0}"/>
  </hyperlinks>
  <pageMargins left="0.7" right="0.7" top="0.75" bottom="0.75" header="0.3" footer="0.3"/>
  <pageSetup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405EA1-6421-421F-B83D-F346CFB7E3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Risk Assessment Data</vt:lpstr>
      <vt:lpstr>Risk Matrix</vt:lpstr>
      <vt:lpstr>Heat Map</vt:lpstr>
      <vt:lpstr>Risk Ratings</vt:lpstr>
      <vt:lpstr>Risk Analysis Matrix</vt:lpstr>
      <vt:lpstr>MITRE probability descriptions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Anderson</dc:creator>
  <cp:lastModifiedBy>Barry Anderson</cp:lastModifiedBy>
  <dcterms:created xsi:type="dcterms:W3CDTF">2021-06-11T10:43:11Z</dcterms:created>
  <dcterms:modified xsi:type="dcterms:W3CDTF">2021-12-07T11:38:56Z</dcterms:modified>
</cp:coreProperties>
</file>